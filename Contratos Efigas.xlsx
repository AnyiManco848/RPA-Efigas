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imutenergia-my.sharepoint.com/personal/amanco_azimutenergia_co/Documents/Escritorio/RPA Efigas/"/>
    </mc:Choice>
  </mc:AlternateContent>
  <xr:revisionPtr revIDLastSave="52" documentId="8_{6A570C35-1CEA-4891-9F82-33B98D03EDE8}" xr6:coauthVersionLast="47" xr6:coauthVersionMax="47" xr10:uidLastSave="{3C3778A7-89FC-4624-A590-4705BE2FAB0B}"/>
  <bookViews>
    <workbookView xWindow="-110" yWindow="-110" windowWidth="19420" windowHeight="10300" xr2:uid="{00000000-000D-0000-FFFF-FFFF00000000}"/>
  </bookViews>
  <sheets>
    <sheet name="Contratos" sheetId="1" r:id="rId1"/>
    <sheet name="Consulta1" sheetId="3" r:id="rId2"/>
  </sheets>
  <definedNames>
    <definedName name="DatosExternos_1" localSheetId="1" hidden="1">'Consulta1'!$A$1:$N$26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I2" i="1"/>
  <c r="G2" i="1" s="1"/>
  <c r="I3" i="1"/>
  <c r="H3" i="1" s="1"/>
  <c r="G3" i="1" s="1"/>
  <c r="I4" i="1"/>
  <c r="H4" i="1" s="1"/>
  <c r="G4" i="1" s="1"/>
  <c r="I5" i="1"/>
  <c r="G5" i="1" s="1"/>
  <c r="I6" i="1"/>
  <c r="H6" i="1" s="1"/>
  <c r="I7" i="1"/>
  <c r="H7" i="1" s="1"/>
  <c r="I8" i="1"/>
  <c r="H8" i="1" s="1"/>
  <c r="G8" i="1" s="1"/>
  <c r="I9" i="1"/>
  <c r="H9" i="1" s="1"/>
  <c r="G9" i="1" s="1"/>
  <c r="I10" i="1"/>
  <c r="H10" i="1" s="1"/>
  <c r="G10" i="1" s="1"/>
  <c r="I11" i="1"/>
  <c r="H11" i="1" s="1"/>
  <c r="G11" i="1" s="1"/>
  <c r="I12" i="1"/>
  <c r="H12" i="1" s="1"/>
  <c r="G12" i="1" s="1"/>
  <c r="I13" i="1"/>
  <c r="H13" i="1" s="1"/>
  <c r="G13" i="1" s="1"/>
  <c r="I14" i="1"/>
  <c r="H14" i="1" s="1"/>
  <c r="G14" i="1" s="1"/>
  <c r="I15" i="1"/>
  <c r="H15" i="1" s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H25" i="1" s="1"/>
  <c r="G25" i="1" s="1"/>
  <c r="I26" i="1"/>
  <c r="H26" i="1" s="1"/>
  <c r="G26" i="1" s="1"/>
  <c r="I27" i="1"/>
  <c r="H27" i="1" s="1"/>
  <c r="G27" i="1" s="1"/>
  <c r="I28" i="1"/>
  <c r="H28" i="1" s="1"/>
  <c r="G28" i="1" s="1"/>
  <c r="I29" i="1"/>
  <c r="H29" i="1" s="1"/>
  <c r="G29" i="1" s="1"/>
  <c r="I30" i="1"/>
  <c r="H30" i="1" s="1"/>
  <c r="G30" i="1" s="1"/>
  <c r="I31" i="1"/>
  <c r="H31" i="1" s="1"/>
  <c r="G31" i="1" s="1"/>
  <c r="I32" i="1"/>
  <c r="H32" i="1" s="1"/>
  <c r="G32" i="1" s="1"/>
  <c r="I33" i="1"/>
  <c r="H33" i="1" s="1"/>
  <c r="G33" i="1" s="1"/>
  <c r="I34" i="1"/>
  <c r="H34" i="1" s="1"/>
  <c r="G34" i="1" s="1"/>
  <c r="I35" i="1"/>
  <c r="H35" i="1" s="1"/>
  <c r="G35" i="1" s="1"/>
  <c r="I36" i="1"/>
  <c r="H36" i="1" s="1"/>
  <c r="G36" i="1" s="1"/>
  <c r="I37" i="1"/>
  <c r="H37" i="1" s="1"/>
  <c r="G3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93153F-B146-4930-9B1A-63C8580F019B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<sst xmlns="http://schemas.openxmlformats.org/spreadsheetml/2006/main" count="372" uniqueCount="148">
  <si>
    <t>Contrato</t>
  </si>
  <si>
    <t>ID Inmueble</t>
  </si>
  <si>
    <t>Cliente</t>
  </si>
  <si>
    <t>Comercializador</t>
  </si>
  <si>
    <t>Fecha emisión</t>
  </si>
  <si>
    <t>Comentarios para descargar</t>
  </si>
  <si>
    <t>Descarga</t>
  </si>
  <si>
    <t>Usuario</t>
  </si>
  <si>
    <t>Contraseña</t>
  </si>
  <si>
    <t>Comentarios</t>
  </si>
  <si>
    <t>910585</t>
  </si>
  <si>
    <t>Cruz Verde</t>
  </si>
  <si>
    <t>Efigas</t>
  </si>
  <si>
    <t>Ultima factura emitida diciembre 2024</t>
  </si>
  <si>
    <t>10@yopmail.com</t>
  </si>
  <si>
    <t>Azimutenergia2025*</t>
  </si>
  <si>
    <t>269364</t>
  </si>
  <si>
    <t>Francorp</t>
  </si>
  <si>
    <t>353226</t>
  </si>
  <si>
    <t>995676</t>
  </si>
  <si>
    <t>54357</t>
  </si>
  <si>
    <t>Frisby</t>
  </si>
  <si>
    <t xml:space="preserve">	ljborrero@azimutenergia.co</t>
  </si>
  <si>
    <t>573671</t>
  </si>
  <si>
    <t>56474</t>
  </si>
  <si>
    <t>597052</t>
  </si>
  <si>
    <t>221119</t>
  </si>
  <si>
    <t>290345</t>
  </si>
  <si>
    <t>296694</t>
  </si>
  <si>
    <t>1557514</t>
  </si>
  <si>
    <t>305658</t>
  </si>
  <si>
    <t>54916</t>
  </si>
  <si>
    <t>909654</t>
  </si>
  <si>
    <t>876577</t>
  </si>
  <si>
    <t>320071</t>
  </si>
  <si>
    <t>598336</t>
  </si>
  <si>
    <t>1446077</t>
  </si>
  <si>
    <t>1400064</t>
  </si>
  <si>
    <t>308526</t>
  </si>
  <si>
    <t>90345</t>
  </si>
  <si>
    <t>775808</t>
  </si>
  <si>
    <t>571494</t>
  </si>
  <si>
    <t>608387</t>
  </si>
  <si>
    <t>312891</t>
  </si>
  <si>
    <t>262328</t>
  </si>
  <si>
    <t>301241</t>
  </si>
  <si>
    <t>436087</t>
  </si>
  <si>
    <t>309631</t>
  </si>
  <si>
    <t>360911</t>
  </si>
  <si>
    <t>411821</t>
  </si>
  <si>
    <t>451448</t>
  </si>
  <si>
    <t>451449</t>
  </si>
  <si>
    <t>441113</t>
  </si>
  <si>
    <t>1027361</t>
  </si>
  <si>
    <t>Azimutenergia2025</t>
  </si>
  <si>
    <t>numero_referencia</t>
  </si>
  <si>
    <t>numero_contrato</t>
  </si>
  <si>
    <t>comercializador</t>
  </si>
  <si>
    <t>id</t>
  </si>
  <si>
    <t>inmueble</t>
  </si>
  <si>
    <t>cliente</t>
  </si>
  <si>
    <t>fecha_expiracion</t>
  </si>
  <si>
    <t>fecha_emision</t>
  </si>
  <si>
    <t>fecha_inicio</t>
  </si>
  <si>
    <t>fecha_fin</t>
  </si>
  <si>
    <t>costo_total</t>
  </si>
  <si>
    <t>fecha_creacion</t>
  </si>
  <si>
    <t>fecha_actualizacion</t>
  </si>
  <si>
    <t>F44 PLAZA DE BOLIVAR CC  0109</t>
  </si>
  <si>
    <t>F54 LA 14 PEREIRA CC  0110</t>
  </si>
  <si>
    <t>F23 MULTICENTRO ESTRELLA CC  0402</t>
  </si>
  <si>
    <t>F01 EL LAGO CC  0101</t>
  </si>
  <si>
    <t>F02 ARMENIA CENTRO CC  0201</t>
  </si>
  <si>
    <t>H07 FRISBY VILLA VERDE CC  0124</t>
  </si>
  <si>
    <t>F07 UNIPLAZA CC  0104</t>
  </si>
  <si>
    <t>F35 CUBA CC  0107</t>
  </si>
  <si>
    <t>F06 MANIZALES CENTRO CC  0401</t>
  </si>
  <si>
    <t>G84 EL PROGRESO CC  0123</t>
  </si>
  <si>
    <t>F04 CASA DE LA CULTURA CC  0103</t>
  </si>
  <si>
    <t>F18 PARQUE LOS FUNDADORES CC  0202</t>
  </si>
  <si>
    <t>H05 CALIMA ARMENIA CC  0211</t>
  </si>
  <si>
    <t>G07 PORTAL DEL QUINDIO CC  0209</t>
  </si>
  <si>
    <t>H98 VILLAMARIA CC  0404</t>
  </si>
  <si>
    <t>H22 INTER PLAZA CC  0212</t>
  </si>
  <si>
    <t>F40 PEREIRA PLAZA CC  0108</t>
  </si>
  <si>
    <t>W001</t>
  </si>
  <si>
    <t>APOPEI</t>
  </si>
  <si>
    <t>F46 CABLE PLAZA CC  0403</t>
  </si>
  <si>
    <t>K09 ARBOLEDA</t>
  </si>
  <si>
    <t>K11 VICTORIA</t>
  </si>
  <si>
    <t>W02 - WINGZ MILAN - MANIZALES</t>
  </si>
  <si>
    <t>EFIR14273237</t>
  </si>
  <si>
    <t>EFIR14273237290345Efigas</t>
  </si>
  <si>
    <t>EFIR14275634</t>
  </si>
  <si>
    <t>EFIR14275634269364Efigas</t>
  </si>
  <si>
    <t>EFIR14279138</t>
  </si>
  <si>
    <t>EFIR14279138296694Efigas</t>
  </si>
  <si>
    <t>EFIR14390891</t>
  </si>
  <si>
    <t>EFIR14390891360911Efigas</t>
  </si>
  <si>
    <t>EFIR14374797</t>
  </si>
  <si>
    <t>EFIR14374797309631Efigas</t>
  </si>
  <si>
    <t>EFIR14293405</t>
  </si>
  <si>
    <t>EFIR14293405571494Efigas</t>
  </si>
  <si>
    <t>EFIR14330097</t>
  </si>
  <si>
    <t>EFIR14330097262328Efigas</t>
  </si>
  <si>
    <t>EFIR14321027</t>
  </si>
  <si>
    <t>EFIR14321027301241Efigas</t>
  </si>
  <si>
    <t>EFIR14385333</t>
  </si>
  <si>
    <t>EFIR14385333436087Efigas</t>
  </si>
  <si>
    <t>EFIR14367980</t>
  </si>
  <si>
    <t>EFIR1436798054916Efigas</t>
  </si>
  <si>
    <t>EFIR14454956</t>
  </si>
  <si>
    <t>EFIR14454956312891Efigas</t>
  </si>
  <si>
    <t>EFIR14461199</t>
  </si>
  <si>
    <t>EFIR14461199608387Efigas</t>
  </si>
  <si>
    <t>EFIR14448946</t>
  </si>
  <si>
    <t>EFIR14448946353226Efigas</t>
  </si>
  <si>
    <t>EFIR14452186</t>
  </si>
  <si>
    <t>EFIR14452186305658Efigas</t>
  </si>
  <si>
    <t>EFIR14284603</t>
  </si>
  <si>
    <t>EFIR142846031557514Efigas</t>
  </si>
  <si>
    <t>EFIR14523476</t>
  </si>
  <si>
    <t>EFIR14523476451449Efigas</t>
  </si>
  <si>
    <t>EFIR14539956</t>
  </si>
  <si>
    <t>EFIR14539956411821Efigas</t>
  </si>
  <si>
    <t>EFIR14519633</t>
  </si>
  <si>
    <t>EFIR14519633451448Efigas</t>
  </si>
  <si>
    <t>EFIR14605125</t>
  </si>
  <si>
    <t>EFIR14605125573671Efigas</t>
  </si>
  <si>
    <t>EFIR14561921</t>
  </si>
  <si>
    <t>EFIR1456192154357Efigas</t>
  </si>
  <si>
    <t>EFIR14559662</t>
  </si>
  <si>
    <t>EFIR14559662221119Efigas</t>
  </si>
  <si>
    <t>EFIR14624325</t>
  </si>
  <si>
    <t>EFIR1462432556474Efigas</t>
  </si>
  <si>
    <t>EFIR14650455</t>
  </si>
  <si>
    <t>EFIR14650455597052Efigas</t>
  </si>
  <si>
    <t>EFIR14682906</t>
  </si>
  <si>
    <t>EFIR14682906441113Efigas</t>
  </si>
  <si>
    <t>EFIR14699280</t>
  </si>
  <si>
    <t>EFIR146992801027361Efigas</t>
  </si>
  <si>
    <t>ID</t>
  </si>
  <si>
    <t>ID2</t>
  </si>
  <si>
    <t>Referencia</t>
  </si>
  <si>
    <t>Error descarga</t>
  </si>
  <si>
    <t>Sin emisión</t>
  </si>
  <si>
    <t>Pendiente</t>
  </si>
  <si>
    <t>Descargada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</si>
</sst>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3" borderId="1" xfId="1" applyFill="1" applyBorder="1" applyAlignment="1">
      <alignment horizontal="center"/>
    </xf>
    <xf numFmtId="22" fontId="0" fillId="0" borderId="0" xfId="0" applyNumberFormat="1"/>
  </cellXfs>
  <cellStyles count="2">
    <cellStyle name="Hipervínculo" xfId="1" builtinId="8"/>
    <cellStyle name="Normal" xfId="0" builtinId="0"/>
  </cellStyles>
  <dxfs count="30"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/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C2AE0EE-6C52-4E0F-9134-CE2842D965CF}" autoFormatId="16" applyNumberFormats="0" applyBorderFormats="0" applyFontFormats="0" applyPatternFormats="0" applyAlignmentFormats="0" applyWidthHeightFormats="0">
  <queryTableRefresh nextId="15">
    <queryTableFields count="14">
      <queryTableField id="1" name="numero_referencia" tableColumnId="1"/>
      <queryTableField id="2" name="numero_contrato" tableColumnId="2"/>
      <queryTableField id="3" name="comercializador" tableColumnId="3"/>
      <queryTableField id="4" name="id" tableColumnId="4"/>
      <queryTableField id="5" name="inmueble" tableColumnId="5"/>
      <queryTableField id="6" name="cliente" tableColumnId="6"/>
      <queryTableField id="14" dataBound="0" tableColumnId="14"/>
      <queryTableField id="7" name="fecha_expiracion" tableColumnId="7"/>
      <queryTableField id="8" name="fecha_emision" tableColumnId="8"/>
      <queryTableField id="9" name="fecha_inicio" tableColumnId="9"/>
      <queryTableField id="10" name="fecha_fin" tableColumnId="10"/>
      <queryTableField id="11" name="costo_total" tableColumnId="11"/>
      <queryTableField id="12" name="fecha_creacion" tableColumnId="12"/>
      <queryTableField id="13" name="fecha_actualizacion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L37" totalsRowShown="0" headerRowDxfId="29" dataDxfId="27" headerRowBorderDxfId="28" tableBorderDxfId="26" totalsRowBorderDxfId="25">
  <autoFilter ref="A1:L37" xr:uid="{00000000-0009-0000-0100-000001000000}">
    <filterColumn colId="6">
      <filters>
        <filter val="Pendiente"/>
      </filters>
    </filterColumn>
  </autoFilter>
  <tableColumns count="12">
    <tableColumn id="1" xr3:uid="{00000000-0010-0000-0000-000001000000}" name="Contrato" dataDxfId="24"/>
    <tableColumn id="2" xr3:uid="{00000000-0010-0000-0000-000002000000}" name="ID Inmueble" dataDxfId="23"/>
    <tableColumn id="3" xr3:uid="{00000000-0010-0000-0000-000003000000}" name="Cliente" dataDxfId="22"/>
    <tableColumn id="4" xr3:uid="{00000000-0010-0000-0000-000004000000}" name="Comercializador" dataDxfId="21"/>
    <tableColumn id="5" xr3:uid="{00000000-0010-0000-0000-000005000000}" name="Fecha emisión" dataDxfId="20"/>
    <tableColumn id="6" xr3:uid="{00000000-0010-0000-0000-000006000000}" name="Comentarios para descargar" dataDxfId="19"/>
    <tableColumn id="10" xr3:uid="{00000000-0010-0000-0000-00000A000000}" name="Descarga" dataDxfId="18">
      <calculatedColumnFormula>IF(Tabla1[[#This Row],[Referencia]]="","Pendiente","Descargada")</calculatedColumnFormula>
    </tableColumn>
    <tableColumn id="12" xr3:uid="{91B84084-2FCC-4035-9C13-E6ED978CA844}" name="Referencia" dataDxfId="17">
      <calculatedColumnFormula>_xlfn.XLOOKUP(Tabla1[[#This Row],[ID]],Consulta1[ID2],Consulta1[numero_referencia],"",0)</calculatedColumnFormula>
    </tableColumn>
    <tableColumn id="7" xr3:uid="{71516AD8-A1B9-48C8-B680-F0710F2958EB}" name="ID" dataDxfId="16">
      <calculatedColumnFormula>_xlfn.CONCAT(Tabla1[[#This Row],[Cliente]],Tabla1[[#This Row],[Contrato]])</calculatedColumnFormula>
    </tableColumn>
    <tableColumn id="9" xr3:uid="{00000000-0010-0000-0000-000009000000}" name="Usuario" dataDxfId="15"/>
    <tableColumn id="11" xr3:uid="{00000000-0010-0000-0000-00000B000000}" name="Contraseña" dataDxfId="14"/>
    <tableColumn id="8" xr3:uid="{00000000-0010-0000-0000-000008000000}" name="Comentario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6B26AF-1DDB-456C-B957-7DD15F9BA1D0}" name="Consulta1" displayName="Consulta1" ref="A1:N26" tableType="queryTable" totalsRowShown="0">
  <autoFilter ref="A1:N26" xr:uid="{546B26AF-1DDB-456C-B957-7DD15F9BA1D0}"/>
  <tableColumns count="14">
    <tableColumn id="1" xr3:uid="{4E8A1339-EC92-4C06-8E00-3CCD069FFA58}" uniqueName="1" name="numero_referencia" queryTableFieldId="1" dataDxfId="12"/>
    <tableColumn id="2" xr3:uid="{C89106F6-36CE-4548-B6E0-2A73C4B2FFA5}" uniqueName="2" name="numero_contrato" queryTableFieldId="2" dataDxfId="11"/>
    <tableColumn id="3" xr3:uid="{D501202C-39E4-4B17-9A12-4BBC833CFE40}" uniqueName="3" name="comercializador" queryTableFieldId="3" dataDxfId="10"/>
    <tableColumn id="4" xr3:uid="{BEC59DC8-7AE0-4BD7-A15C-3690316D2B75}" uniqueName="4" name="id" queryTableFieldId="4" dataDxfId="9"/>
    <tableColumn id="5" xr3:uid="{394C0385-9B50-4D69-9860-587BA8507679}" uniqueName="5" name="inmueble" queryTableFieldId="5" dataDxfId="8"/>
    <tableColumn id="6" xr3:uid="{E87AFA2D-C6B2-4F52-BDF9-AA83BEB93FD6}" uniqueName="6" name="cliente" queryTableFieldId="6" dataDxfId="7"/>
    <tableColumn id="14" xr3:uid="{97F86159-92F3-440D-B316-D705789AD730}" uniqueName="14" name="ID2" queryTableFieldId="14" dataDxfId="6">
      <calculatedColumnFormula>_xlfn.CONCAT(Consulta1[[#This Row],[cliente]],Consulta1[[#This Row],[numero_contrato]])</calculatedColumnFormula>
    </tableColumn>
    <tableColumn id="7" xr3:uid="{F230E3CC-97F9-41B5-9E98-689017CF2C3E}" uniqueName="7" name="fecha_expiracion" queryTableFieldId="7" dataDxfId="5"/>
    <tableColumn id="8" xr3:uid="{BD874D42-E1D2-4A5C-B17D-B114A2235E62}" uniqueName="8" name="fecha_emision" queryTableFieldId="8" dataDxfId="4"/>
    <tableColumn id="9" xr3:uid="{03A71DFD-7F98-41C9-A43F-4F5D99A7E474}" uniqueName="9" name="fecha_inicio" queryTableFieldId="9" dataDxfId="3"/>
    <tableColumn id="10" xr3:uid="{F5B4DB19-69F9-48FA-A15B-9186A6C7110E}" uniqueName="10" name="fecha_fin" queryTableFieldId="10" dataDxfId="2"/>
    <tableColumn id="11" xr3:uid="{B3B8704E-7F12-44B5-B8C0-272CCA6E102E}" uniqueName="11" name="costo_total" queryTableFieldId="11"/>
    <tableColumn id="12" xr3:uid="{8E7492E6-4D2F-47AB-B3F3-BCF4B7297425}" uniqueName="12" name="fecha_creacion" queryTableFieldId="12" dataDxfId="1"/>
    <tableColumn id="13" xr3:uid="{41EF4051-C04A-44F1-9704-C325F98C6BD3}" uniqueName="13" name="fecha_actualizacio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10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zoomScale="70" zoomScaleNormal="70" workbookViewId="0">
      <pane ySplit="1" topLeftCell="A2" activePane="bottomLeft" state="frozen"/>
      <selection pane="bottomLeft" activeCell="H38" sqref="H38"/>
    </sheetView>
  </sheetViews>
  <sheetFormatPr baseColWidth="10" defaultRowHeight="14.5" x14ac:dyDescent="0.35"/>
  <cols>
    <col min="2" max="2" width="13" customWidth="1"/>
    <col min="4" max="4" width="16.54296875" customWidth="1"/>
    <col min="5" max="5" width="15" customWidth="1"/>
    <col min="6" max="6" width="32" bestFit="1" customWidth="1"/>
    <col min="7" max="9" width="21.36328125" customWidth="1"/>
    <col min="10" max="10" width="24.90625" bestFit="1" customWidth="1"/>
    <col min="11" max="11" width="16.90625" bestFit="1" customWidth="1"/>
    <col min="12" max="12" width="16.08984375" bestFit="1" customWidth="1"/>
  </cols>
  <sheetData>
    <row r="1" spans="1:12" x14ac:dyDescent="0.3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143</v>
      </c>
      <c r="I1" s="9" t="s">
        <v>141</v>
      </c>
      <c r="J1" s="9" t="s">
        <v>7</v>
      </c>
      <c r="K1" s="9" t="s">
        <v>8</v>
      </c>
      <c r="L1" s="9" t="s">
        <v>9</v>
      </c>
    </row>
    <row r="2" spans="1:12" hidden="1" x14ac:dyDescent="0.35">
      <c r="A2" s="1" t="s">
        <v>10</v>
      </c>
      <c r="B2" s="1">
        <v>31873</v>
      </c>
      <c r="C2" s="3" t="s">
        <v>11</v>
      </c>
      <c r="D2" s="3" t="s">
        <v>12</v>
      </c>
      <c r="E2" s="5">
        <v>16</v>
      </c>
      <c r="F2" s="3" t="s">
        <v>13</v>
      </c>
      <c r="G2" s="3" t="str">
        <f>IF(Tabla1[[#This Row],[Referencia]]="","Pendiente","Descargada")</f>
        <v>Descargada</v>
      </c>
      <c r="H2" s="3">
        <v>0</v>
      </c>
      <c r="I2" s="3" t="str">
        <f>_xlfn.CONCAT(Tabla1[[#This Row],[Cliente]],Tabla1[[#This Row],[Contrato]])</f>
        <v>Cruz Verde910585</v>
      </c>
      <c r="J2" s="16" t="s">
        <v>14</v>
      </c>
      <c r="K2" t="s">
        <v>15</v>
      </c>
      <c r="L2" s="3" t="s">
        <v>144</v>
      </c>
    </row>
    <row r="3" spans="1:12" hidden="1" x14ac:dyDescent="0.35">
      <c r="A3" s="2" t="s">
        <v>16</v>
      </c>
      <c r="B3" s="2">
        <v>23008</v>
      </c>
      <c r="C3" s="4" t="s">
        <v>17</v>
      </c>
      <c r="D3" s="4" t="s">
        <v>12</v>
      </c>
      <c r="E3" s="6">
        <v>1</v>
      </c>
      <c r="F3" s="7"/>
      <c r="G3" s="4" t="str">
        <f>IF(Tabla1[[#This Row],[Referencia]]="","Pendiente","Descargada")</f>
        <v>Descargada</v>
      </c>
      <c r="H3" s="4" t="str">
        <f>_xlfn.XLOOKUP(Tabla1[[#This Row],[ID]],Consulta1[ID2],Consulta1[numero_referencia],"",0)</f>
        <v>EFIR14275634</v>
      </c>
      <c r="I3" s="4" t="str">
        <f>_xlfn.CONCAT(Tabla1[[#This Row],[Cliente]],Tabla1[[#This Row],[Contrato]])</f>
        <v>Francorp269364</v>
      </c>
      <c r="J3" s="7" t="s">
        <v>14</v>
      </c>
      <c r="K3" s="7" t="s">
        <v>15</v>
      </c>
      <c r="L3" s="7"/>
    </row>
    <row r="4" spans="1:12" hidden="1" x14ac:dyDescent="0.35">
      <c r="A4" s="1" t="s">
        <v>18</v>
      </c>
      <c r="B4" s="1">
        <v>23007</v>
      </c>
      <c r="C4" s="3" t="s">
        <v>17</v>
      </c>
      <c r="D4" s="3" t="s">
        <v>12</v>
      </c>
      <c r="E4" s="5">
        <v>8</v>
      </c>
      <c r="F4" s="3"/>
      <c r="G4" s="3" t="str">
        <f>IF(Tabla1[[#This Row],[Referencia]]="","Pendiente","Descargada")</f>
        <v>Descargada</v>
      </c>
      <c r="H4" s="3" t="str">
        <f>_xlfn.XLOOKUP(Tabla1[[#This Row],[ID]],Consulta1[ID2],Consulta1[numero_referencia],"",0)</f>
        <v>EFIR14448946</v>
      </c>
      <c r="I4" s="3" t="str">
        <f>_xlfn.CONCAT(Tabla1[[#This Row],[Cliente]],Tabla1[[#This Row],[Contrato]])</f>
        <v>Francorp353226</v>
      </c>
      <c r="J4" s="3" t="s">
        <v>14</v>
      </c>
      <c r="K4" s="3" t="s">
        <v>15</v>
      </c>
      <c r="L4" s="3"/>
    </row>
    <row r="5" spans="1:12" hidden="1" x14ac:dyDescent="0.35">
      <c r="A5" s="2" t="s">
        <v>19</v>
      </c>
      <c r="B5" s="2">
        <v>23020</v>
      </c>
      <c r="C5" s="4" t="s">
        <v>17</v>
      </c>
      <c r="D5" s="4" t="s">
        <v>12</v>
      </c>
      <c r="E5" s="6">
        <v>26</v>
      </c>
      <c r="F5" s="7"/>
      <c r="G5" s="4" t="str">
        <f>IF(Tabla1[[#This Row],[Referencia]]="","Pendiente","Descargada")</f>
        <v>Descargada</v>
      </c>
      <c r="H5" s="4">
        <v>1</v>
      </c>
      <c r="I5" s="4" t="str">
        <f>_xlfn.CONCAT(Tabla1[[#This Row],[Cliente]],Tabla1[[#This Row],[Contrato]])</f>
        <v>Francorp995676</v>
      </c>
      <c r="J5" s="7" t="s">
        <v>14</v>
      </c>
      <c r="K5" s="7" t="s">
        <v>15</v>
      </c>
      <c r="L5" s="7" t="s">
        <v>144</v>
      </c>
    </row>
    <row r="6" spans="1:12" x14ac:dyDescent="0.35">
      <c r="A6" s="1" t="s">
        <v>20</v>
      </c>
      <c r="B6" s="1">
        <v>20551</v>
      </c>
      <c r="C6" s="3" t="s">
        <v>21</v>
      </c>
      <c r="D6" s="3" t="s">
        <v>12</v>
      </c>
      <c r="E6" s="5">
        <v>12</v>
      </c>
      <c r="F6" s="3"/>
      <c r="G6" s="3" t="s">
        <v>146</v>
      </c>
      <c r="H6" s="3" t="str">
        <f>_xlfn.XLOOKUP(Tabla1[[#This Row],[ID]],Consulta1[ID2],Consulta1[numero_referencia],"",0)</f>
        <v>EFIR14561921</v>
      </c>
      <c r="I6" s="3" t="str">
        <f>_xlfn.CONCAT(Tabla1[[#This Row],[Cliente]],Tabla1[[#This Row],[Contrato]])</f>
        <v>Frisby54357</v>
      </c>
      <c r="J6" s="3" t="s">
        <v>22</v>
      </c>
      <c r="K6" s="3" t="s">
        <v>15</v>
      </c>
      <c r="L6" s="3" t="s">
        <v>147</v>
      </c>
    </row>
    <row r="7" spans="1:12" x14ac:dyDescent="0.35">
      <c r="A7" s="2" t="s">
        <v>23</v>
      </c>
      <c r="B7" s="2">
        <v>20587</v>
      </c>
      <c r="C7" s="4" t="s">
        <v>21</v>
      </c>
      <c r="D7" s="4" t="s">
        <v>12</v>
      </c>
      <c r="E7" s="6">
        <v>12</v>
      </c>
      <c r="F7" s="4"/>
      <c r="G7" s="4" t="s">
        <v>146</v>
      </c>
      <c r="H7" s="4" t="str">
        <f>_xlfn.XLOOKUP(Tabla1[[#This Row],[ID]],Consulta1[ID2],Consulta1[numero_referencia],"",0)</f>
        <v>EFIR14605125</v>
      </c>
      <c r="I7" s="4" t="str">
        <f>_xlfn.CONCAT(Tabla1[[#This Row],[Cliente]],Tabla1[[#This Row],[Contrato]])</f>
        <v>Frisby573671</v>
      </c>
      <c r="J7" s="4" t="s">
        <v>22</v>
      </c>
      <c r="K7" s="4" t="s">
        <v>15</v>
      </c>
      <c r="L7" s="4" t="s">
        <v>147</v>
      </c>
    </row>
    <row r="8" spans="1:12" hidden="1" x14ac:dyDescent="0.35">
      <c r="A8" s="1" t="s">
        <v>24</v>
      </c>
      <c r="B8" s="1">
        <v>20565</v>
      </c>
      <c r="C8" s="3" t="s">
        <v>21</v>
      </c>
      <c r="D8" s="3" t="s">
        <v>12</v>
      </c>
      <c r="E8" s="5">
        <v>13</v>
      </c>
      <c r="F8" s="3"/>
      <c r="G8" s="3" t="str">
        <f>IF(Tabla1[[#This Row],[Referencia]]="","Pendiente","Descargada")</f>
        <v>Descargada</v>
      </c>
      <c r="H8" s="3" t="str">
        <f>_xlfn.XLOOKUP(Tabla1[[#This Row],[ID]],Consulta1[ID2],Consulta1[numero_referencia],"",0)</f>
        <v>EFIR14624325</v>
      </c>
      <c r="I8" s="3" t="str">
        <f>_xlfn.CONCAT(Tabla1[[#This Row],[Cliente]],Tabla1[[#This Row],[Contrato]])</f>
        <v>Frisby56474</v>
      </c>
      <c r="J8" s="3" t="s">
        <v>22</v>
      </c>
      <c r="K8" s="3" t="s">
        <v>15</v>
      </c>
      <c r="L8" s="3"/>
    </row>
    <row r="9" spans="1:12" hidden="1" x14ac:dyDescent="0.35">
      <c r="A9" s="2" t="s">
        <v>25</v>
      </c>
      <c r="B9" s="2">
        <v>20593</v>
      </c>
      <c r="C9" s="4" t="s">
        <v>21</v>
      </c>
      <c r="D9" s="4" t="s">
        <v>12</v>
      </c>
      <c r="E9" s="6">
        <v>13</v>
      </c>
      <c r="F9" s="15"/>
      <c r="G9" s="4" t="str">
        <f>IF(Tabla1[[#This Row],[Referencia]]="","Pendiente","Descargada")</f>
        <v>Descargada</v>
      </c>
      <c r="H9" s="4" t="str">
        <f>_xlfn.XLOOKUP(Tabla1[[#This Row],[ID]],Consulta1[ID2],Consulta1[numero_referencia],"",0)</f>
        <v>EFIR14650455</v>
      </c>
      <c r="I9" s="4" t="str">
        <f>_xlfn.CONCAT(Tabla1[[#This Row],[Cliente]],Tabla1[[#This Row],[Contrato]])</f>
        <v>Frisby597052</v>
      </c>
      <c r="J9" s="4" t="s">
        <v>22</v>
      </c>
      <c r="K9" s="4" t="s">
        <v>15</v>
      </c>
      <c r="L9" s="4"/>
    </row>
    <row r="10" spans="1:12" hidden="1" x14ac:dyDescent="0.35">
      <c r="A10" s="1" t="s">
        <v>26</v>
      </c>
      <c r="B10" s="1">
        <v>20557</v>
      </c>
      <c r="C10" s="3" t="s">
        <v>21</v>
      </c>
      <c r="D10" s="3" t="s">
        <v>12</v>
      </c>
      <c r="E10" s="5">
        <v>13</v>
      </c>
      <c r="F10" s="3"/>
      <c r="G10" s="3" t="str">
        <f>IF(Tabla1[[#This Row],[Referencia]]="","Pendiente","Descargada")</f>
        <v>Descargada</v>
      </c>
      <c r="H10" s="3" t="str">
        <f>_xlfn.XLOOKUP(Tabla1[[#This Row],[ID]],Consulta1[ID2],Consulta1[numero_referencia],"",0)</f>
        <v>EFIR14559662</v>
      </c>
      <c r="I10" s="3" t="str">
        <f>_xlfn.CONCAT(Tabla1[[#This Row],[Cliente]],Tabla1[[#This Row],[Contrato]])</f>
        <v>Frisby221119</v>
      </c>
      <c r="J10" s="3" t="s">
        <v>22</v>
      </c>
      <c r="K10" s="3" t="s">
        <v>15</v>
      </c>
      <c r="L10" s="3"/>
    </row>
    <row r="11" spans="1:12" hidden="1" x14ac:dyDescent="0.35">
      <c r="A11" s="2" t="s">
        <v>27</v>
      </c>
      <c r="B11" s="2">
        <v>20543</v>
      </c>
      <c r="C11" s="4" t="s">
        <v>21</v>
      </c>
      <c r="D11" s="4" t="s">
        <v>12</v>
      </c>
      <c r="E11" s="6">
        <v>1</v>
      </c>
      <c r="F11" s="4"/>
      <c r="G11" s="4" t="str">
        <f>IF(Tabla1[[#This Row],[Referencia]]="","Pendiente","Descargada")</f>
        <v>Descargada</v>
      </c>
      <c r="H11" s="4" t="str">
        <f>_xlfn.XLOOKUP(Tabla1[[#This Row],[ID]],Consulta1[ID2],Consulta1[numero_referencia],"",0)</f>
        <v>EFIR14273237</v>
      </c>
      <c r="I11" s="4" t="str">
        <f>_xlfn.CONCAT(Tabla1[[#This Row],[Cliente]],Tabla1[[#This Row],[Contrato]])</f>
        <v>Frisby290345</v>
      </c>
      <c r="J11" s="4" t="s">
        <v>22</v>
      </c>
      <c r="K11" s="4" t="s">
        <v>15</v>
      </c>
      <c r="L11" s="4"/>
    </row>
    <row r="12" spans="1:12" hidden="1" x14ac:dyDescent="0.35">
      <c r="A12" s="1" t="s">
        <v>28</v>
      </c>
      <c r="B12" s="1">
        <v>20559</v>
      </c>
      <c r="C12" s="3" t="s">
        <v>21</v>
      </c>
      <c r="D12" s="3" t="s">
        <v>12</v>
      </c>
      <c r="E12" s="5">
        <v>1</v>
      </c>
      <c r="F12" s="3"/>
      <c r="G12" s="3" t="str">
        <f>IF(Tabla1[[#This Row],[Referencia]]="","Pendiente","Descargada")</f>
        <v>Descargada</v>
      </c>
      <c r="H12" s="3" t="str">
        <f>_xlfn.XLOOKUP(Tabla1[[#This Row],[ID]],Consulta1[ID2],Consulta1[numero_referencia],"",0)</f>
        <v>EFIR14279138</v>
      </c>
      <c r="I12" s="3" t="str">
        <f>_xlfn.CONCAT(Tabla1[[#This Row],[Cliente]],Tabla1[[#This Row],[Contrato]])</f>
        <v>Frisby296694</v>
      </c>
      <c r="J12" s="3" t="s">
        <v>22</v>
      </c>
      <c r="K12" s="3" t="s">
        <v>15</v>
      </c>
      <c r="L12" s="3"/>
    </row>
    <row r="13" spans="1:12" hidden="1" x14ac:dyDescent="0.35">
      <c r="A13" s="2" t="s">
        <v>29</v>
      </c>
      <c r="B13" s="2">
        <v>20589</v>
      </c>
      <c r="C13" s="4" t="s">
        <v>21</v>
      </c>
      <c r="D13" s="4" t="s">
        <v>12</v>
      </c>
      <c r="E13" s="6">
        <v>5</v>
      </c>
      <c r="F13" s="4"/>
      <c r="G13" s="4" t="str">
        <f>IF(Tabla1[[#This Row],[Referencia]]="","Pendiente","Descargada")</f>
        <v>Descargada</v>
      </c>
      <c r="H13" s="4" t="str">
        <f>_xlfn.XLOOKUP(Tabla1[[#This Row],[ID]],Consulta1[ID2],Consulta1[numero_referencia],"",0)</f>
        <v>EFIR14284603</v>
      </c>
      <c r="I13" s="4" t="str">
        <f>_xlfn.CONCAT(Tabla1[[#This Row],[Cliente]],Tabla1[[#This Row],[Contrato]])</f>
        <v>Frisby1557514</v>
      </c>
      <c r="J13" s="4" t="s">
        <v>14</v>
      </c>
      <c r="K13" s="4" t="s">
        <v>15</v>
      </c>
      <c r="L13" s="4"/>
    </row>
    <row r="14" spans="1:12" hidden="1" x14ac:dyDescent="0.35">
      <c r="A14" s="1" t="s">
        <v>30</v>
      </c>
      <c r="B14" s="1">
        <v>21735</v>
      </c>
      <c r="C14" s="3" t="s">
        <v>21</v>
      </c>
      <c r="D14" s="3" t="s">
        <v>12</v>
      </c>
      <c r="E14" s="5">
        <v>8</v>
      </c>
      <c r="F14" s="3"/>
      <c r="G14" s="3" t="str">
        <f>IF(Tabla1[[#This Row],[Referencia]]="","Pendiente","Descargada")</f>
        <v>Descargada</v>
      </c>
      <c r="H14" s="3" t="str">
        <f>_xlfn.XLOOKUP(Tabla1[[#This Row],[ID]],Consulta1[ID2],Consulta1[numero_referencia],"",0)</f>
        <v>EFIR14452186</v>
      </c>
      <c r="I14" s="3" t="str">
        <f>_xlfn.CONCAT(Tabla1[[#This Row],[Cliente]],Tabla1[[#This Row],[Contrato]])</f>
        <v>Frisby305658</v>
      </c>
      <c r="J14" s="3" t="s">
        <v>14</v>
      </c>
      <c r="K14" s="3" t="s">
        <v>15</v>
      </c>
      <c r="L14" s="3"/>
    </row>
    <row r="15" spans="1:12" hidden="1" x14ac:dyDescent="0.35">
      <c r="A15" s="2" t="s">
        <v>31</v>
      </c>
      <c r="B15" s="2">
        <v>20544</v>
      </c>
      <c r="C15" s="4" t="s">
        <v>21</v>
      </c>
      <c r="D15" s="4" t="s">
        <v>12</v>
      </c>
      <c r="E15" s="6">
        <v>5</v>
      </c>
      <c r="F15" s="4"/>
      <c r="G15" s="4" t="str">
        <f>IF(Tabla1[[#This Row],[Referencia]]="","Pendiente","Descargada")</f>
        <v>Descargada</v>
      </c>
      <c r="H15" s="4" t="str">
        <f>_xlfn.XLOOKUP(Tabla1[[#This Row],[ID]],Consulta1[ID2],Consulta1[numero_referencia],"",0)</f>
        <v>EFIR14367980</v>
      </c>
      <c r="I15" s="4" t="str">
        <f>_xlfn.CONCAT(Tabla1[[#This Row],[Cliente]],Tabla1[[#This Row],[Contrato]])</f>
        <v>Frisby54916</v>
      </c>
      <c r="J15" s="4" t="s">
        <v>22</v>
      </c>
      <c r="K15" s="4" t="s">
        <v>15</v>
      </c>
      <c r="L15" s="4"/>
    </row>
    <row r="16" spans="1:12" hidden="1" x14ac:dyDescent="0.35">
      <c r="A16" s="1" t="s">
        <v>32</v>
      </c>
      <c r="B16" s="1">
        <v>20618</v>
      </c>
      <c r="C16" s="3" t="s">
        <v>21</v>
      </c>
      <c r="D16" s="3" t="s">
        <v>12</v>
      </c>
      <c r="E16" s="5">
        <v>26</v>
      </c>
      <c r="F16" s="3"/>
      <c r="G16" s="3" t="str">
        <f>IF(Tabla1[[#This Row],[Referencia]]="","Pendiente","Descargada")</f>
        <v>Descargada</v>
      </c>
      <c r="H16" s="3">
        <v>1</v>
      </c>
      <c r="I16" s="3" t="str">
        <f>_xlfn.CONCAT(Tabla1[[#This Row],[Cliente]],Tabla1[[#This Row],[Contrato]])</f>
        <v>Frisby909654</v>
      </c>
      <c r="J16" s="3" t="s">
        <v>22</v>
      </c>
      <c r="K16" s="3" t="s">
        <v>15</v>
      </c>
      <c r="L16" s="3" t="s">
        <v>145</v>
      </c>
    </row>
    <row r="17" spans="1:12" hidden="1" x14ac:dyDescent="0.35">
      <c r="A17" s="2" t="s">
        <v>33</v>
      </c>
      <c r="B17" s="2">
        <v>20604</v>
      </c>
      <c r="C17" s="4" t="s">
        <v>21</v>
      </c>
      <c r="D17" s="4" t="s">
        <v>12</v>
      </c>
      <c r="E17" s="6">
        <v>26</v>
      </c>
      <c r="F17" s="4"/>
      <c r="G17" s="4" t="str">
        <f>IF(Tabla1[[#This Row],[Referencia]]="","Pendiente","Descargada")</f>
        <v>Descargada</v>
      </c>
      <c r="H17" s="4">
        <v>1</v>
      </c>
      <c r="I17" s="4" t="str">
        <f>_xlfn.CONCAT(Tabla1[[#This Row],[Cliente]],Tabla1[[#This Row],[Contrato]])</f>
        <v>Frisby876577</v>
      </c>
      <c r="J17" s="4" t="s">
        <v>22</v>
      </c>
      <c r="K17" s="4" t="s">
        <v>15</v>
      </c>
      <c r="L17" s="4" t="s">
        <v>145</v>
      </c>
    </row>
    <row r="18" spans="1:12" hidden="1" x14ac:dyDescent="0.35">
      <c r="A18" s="1" t="s">
        <v>34</v>
      </c>
      <c r="B18" s="1">
        <v>20573</v>
      </c>
      <c r="C18" s="3" t="s">
        <v>21</v>
      </c>
      <c r="D18" s="3" t="s">
        <v>12</v>
      </c>
      <c r="E18" s="5">
        <v>28</v>
      </c>
      <c r="F18" s="3"/>
      <c r="G18" s="3" t="str">
        <f>IF(Tabla1[[#This Row],[Referencia]]="","Pendiente","Descargada")</f>
        <v>Descargada</v>
      </c>
      <c r="H18" s="3">
        <v>1</v>
      </c>
      <c r="I18" s="3" t="str">
        <f>_xlfn.CONCAT(Tabla1[[#This Row],[Cliente]],Tabla1[[#This Row],[Contrato]])</f>
        <v>Frisby320071</v>
      </c>
      <c r="J18" s="3" t="s">
        <v>22</v>
      </c>
      <c r="K18" s="3" t="s">
        <v>15</v>
      </c>
      <c r="L18" s="3" t="s">
        <v>145</v>
      </c>
    </row>
    <row r="19" spans="1:12" hidden="1" x14ac:dyDescent="0.35">
      <c r="A19" s="2" t="s">
        <v>35</v>
      </c>
      <c r="B19" s="2">
        <v>20624</v>
      </c>
      <c r="C19" s="4" t="s">
        <v>21</v>
      </c>
      <c r="D19" s="4" t="s">
        <v>12</v>
      </c>
      <c r="E19" s="6">
        <v>28</v>
      </c>
      <c r="F19" s="4"/>
      <c r="G19" s="4" t="str">
        <f>IF(Tabla1[[#This Row],[Referencia]]="","Pendiente","Descargada")</f>
        <v>Descargada</v>
      </c>
      <c r="H19" s="4">
        <v>1</v>
      </c>
      <c r="I19" s="4" t="str">
        <f>_xlfn.CONCAT(Tabla1[[#This Row],[Cliente]],Tabla1[[#This Row],[Contrato]])</f>
        <v>Frisby598336</v>
      </c>
      <c r="J19" s="4" t="s">
        <v>22</v>
      </c>
      <c r="K19" s="4" t="s">
        <v>15</v>
      </c>
      <c r="L19" s="4" t="s">
        <v>145</v>
      </c>
    </row>
    <row r="20" spans="1:12" hidden="1" x14ac:dyDescent="0.35">
      <c r="A20" s="1" t="s">
        <v>36</v>
      </c>
      <c r="B20" s="1">
        <v>23191</v>
      </c>
      <c r="C20" s="3" t="s">
        <v>21</v>
      </c>
      <c r="D20" s="3" t="s">
        <v>12</v>
      </c>
      <c r="E20" s="5">
        <v>28</v>
      </c>
      <c r="F20" s="3"/>
      <c r="G20" s="3" t="str">
        <f>IF(Tabla1[[#This Row],[Referencia]]="","Pendiente","Descargada")</f>
        <v>Descargada</v>
      </c>
      <c r="H20" s="3">
        <v>1</v>
      </c>
      <c r="I20" s="3" t="str">
        <f>_xlfn.CONCAT(Tabla1[[#This Row],[Cliente]],Tabla1[[#This Row],[Contrato]])</f>
        <v>Frisby1446077</v>
      </c>
      <c r="J20" s="3" t="s">
        <v>14</v>
      </c>
      <c r="K20" s="3" t="s">
        <v>15</v>
      </c>
      <c r="L20" s="3" t="s">
        <v>144</v>
      </c>
    </row>
    <row r="21" spans="1:12" hidden="1" x14ac:dyDescent="0.35">
      <c r="A21" s="2" t="s">
        <v>37</v>
      </c>
      <c r="B21" s="2">
        <v>21248</v>
      </c>
      <c r="C21" s="4" t="s">
        <v>21</v>
      </c>
      <c r="D21" s="4" t="s">
        <v>12</v>
      </c>
      <c r="E21" s="6">
        <v>29</v>
      </c>
      <c r="F21" s="4"/>
      <c r="G21" s="4" t="str">
        <f>IF(Tabla1[[#This Row],[Referencia]]="","Pendiente","Descargada")</f>
        <v>Descargada</v>
      </c>
      <c r="H21" s="4">
        <v>1</v>
      </c>
      <c r="I21" s="4" t="str">
        <f>_xlfn.CONCAT(Tabla1[[#This Row],[Cliente]],Tabla1[[#This Row],[Contrato]])</f>
        <v>Frisby1400064</v>
      </c>
      <c r="J21" s="4" t="s">
        <v>22</v>
      </c>
      <c r="K21" s="4" t="s">
        <v>15</v>
      </c>
      <c r="L21" s="4" t="s">
        <v>145</v>
      </c>
    </row>
    <row r="22" spans="1:12" hidden="1" x14ac:dyDescent="0.35">
      <c r="A22" s="1" t="s">
        <v>38</v>
      </c>
      <c r="B22" s="1">
        <v>21247</v>
      </c>
      <c r="C22" s="3" t="s">
        <v>21</v>
      </c>
      <c r="D22" s="3" t="s">
        <v>12</v>
      </c>
      <c r="E22" s="5">
        <v>29</v>
      </c>
      <c r="F22" s="3"/>
      <c r="G22" s="3" t="str">
        <f>IF(Tabla1[[#This Row],[Referencia]]="","Pendiente","Descargada")</f>
        <v>Descargada</v>
      </c>
      <c r="H22" s="3">
        <v>1</v>
      </c>
      <c r="I22" s="3" t="str">
        <f>_xlfn.CONCAT(Tabla1[[#This Row],[Cliente]],Tabla1[[#This Row],[Contrato]])</f>
        <v>Frisby308526</v>
      </c>
      <c r="J22" s="3" t="s">
        <v>22</v>
      </c>
      <c r="K22" s="3" t="s">
        <v>15</v>
      </c>
      <c r="L22" s="3" t="s">
        <v>145</v>
      </c>
    </row>
    <row r="23" spans="1:12" hidden="1" x14ac:dyDescent="0.35">
      <c r="A23" s="2" t="s">
        <v>39</v>
      </c>
      <c r="B23" s="2">
        <v>21245</v>
      </c>
      <c r="C23" s="4" t="s">
        <v>21</v>
      </c>
      <c r="D23" s="4" t="s">
        <v>12</v>
      </c>
      <c r="E23" s="6">
        <v>29</v>
      </c>
      <c r="F23" s="4"/>
      <c r="G23" s="4" t="str">
        <f>IF(Tabla1[[#This Row],[Referencia]]="","Pendiente","Descargada")</f>
        <v>Descargada</v>
      </c>
      <c r="H23" s="4">
        <v>11</v>
      </c>
      <c r="I23" s="4" t="str">
        <f>_xlfn.CONCAT(Tabla1[[#This Row],[Cliente]],Tabla1[[#This Row],[Contrato]])</f>
        <v>Frisby90345</v>
      </c>
      <c r="J23" s="4" t="s">
        <v>22</v>
      </c>
      <c r="K23" s="4" t="s">
        <v>15</v>
      </c>
      <c r="L23" s="4" t="s">
        <v>145</v>
      </c>
    </row>
    <row r="24" spans="1:12" hidden="1" x14ac:dyDescent="0.35">
      <c r="A24" s="1" t="s">
        <v>40</v>
      </c>
      <c r="B24" s="1">
        <v>20599</v>
      </c>
      <c r="C24" s="3" t="s">
        <v>21</v>
      </c>
      <c r="D24" s="3" t="s">
        <v>12</v>
      </c>
      <c r="E24" s="5">
        <v>29</v>
      </c>
      <c r="F24" s="14"/>
      <c r="G24" s="3" t="str">
        <f>IF(Tabla1[[#This Row],[Referencia]]="","Pendiente","Descargada")</f>
        <v>Descargada</v>
      </c>
      <c r="H24" s="3">
        <v>1</v>
      </c>
      <c r="I24" s="3" t="str">
        <f>_xlfn.CONCAT(Tabla1[[#This Row],[Cliente]],Tabla1[[#This Row],[Contrato]])</f>
        <v>Frisby775808</v>
      </c>
      <c r="J24" s="3" t="s">
        <v>22</v>
      </c>
      <c r="K24" s="3" t="s">
        <v>15</v>
      </c>
      <c r="L24" s="14" t="s">
        <v>145</v>
      </c>
    </row>
    <row r="25" spans="1:12" hidden="1" x14ac:dyDescent="0.35">
      <c r="A25" s="2" t="s">
        <v>41</v>
      </c>
      <c r="B25" s="2">
        <v>20589</v>
      </c>
      <c r="C25" s="4" t="s">
        <v>21</v>
      </c>
      <c r="D25" s="4" t="s">
        <v>12</v>
      </c>
      <c r="E25" s="6">
        <v>2</v>
      </c>
      <c r="F25" s="4"/>
      <c r="G25" s="4" t="str">
        <f>IF(Tabla1[[#This Row],[Referencia]]="","Pendiente","Descargada")</f>
        <v>Descargada</v>
      </c>
      <c r="H25" s="4" t="str">
        <f>_xlfn.XLOOKUP(Tabla1[[#This Row],[ID]],Consulta1[ID2],Consulta1[numero_referencia],"",0)</f>
        <v>EFIR14293405</v>
      </c>
      <c r="I25" s="4" t="str">
        <f>_xlfn.CONCAT(Tabla1[[#This Row],[Cliente]],Tabla1[[#This Row],[Contrato]])</f>
        <v>Frisby571494</v>
      </c>
      <c r="J25" s="4" t="s">
        <v>22</v>
      </c>
      <c r="K25" s="4" t="s">
        <v>15</v>
      </c>
      <c r="L25" s="4"/>
    </row>
    <row r="26" spans="1:12" hidden="1" x14ac:dyDescent="0.35">
      <c r="A26" s="1" t="s">
        <v>42</v>
      </c>
      <c r="B26" s="1">
        <v>21246</v>
      </c>
      <c r="C26" s="3" t="s">
        <v>21</v>
      </c>
      <c r="D26" s="3" t="s">
        <v>12</v>
      </c>
      <c r="E26" s="5">
        <v>8</v>
      </c>
      <c r="F26" s="3"/>
      <c r="G26" s="3" t="str">
        <f>IF(Tabla1[[#This Row],[Referencia]]="","Pendiente","Descargada")</f>
        <v>Descargada</v>
      </c>
      <c r="H26" s="3" t="str">
        <f>_xlfn.XLOOKUP(Tabla1[[#This Row],[ID]],Consulta1[ID2],Consulta1[numero_referencia],"",0)</f>
        <v>EFIR14461199</v>
      </c>
      <c r="I26" s="3" t="str">
        <f>_xlfn.CONCAT(Tabla1[[#This Row],[Cliente]],Tabla1[[#This Row],[Contrato]])</f>
        <v>Frisby608387</v>
      </c>
      <c r="J26" s="3" t="s">
        <v>22</v>
      </c>
      <c r="K26" s="3" t="s">
        <v>15</v>
      </c>
      <c r="L26" s="3"/>
    </row>
    <row r="27" spans="1:12" hidden="1" x14ac:dyDescent="0.35">
      <c r="A27" s="2" t="s">
        <v>43</v>
      </c>
      <c r="B27" s="2">
        <v>20558</v>
      </c>
      <c r="C27" s="4" t="s">
        <v>21</v>
      </c>
      <c r="D27" s="4" t="s">
        <v>12</v>
      </c>
      <c r="E27" s="6">
        <v>8</v>
      </c>
      <c r="F27" s="4"/>
      <c r="G27" s="4" t="str">
        <f>IF(Tabla1[[#This Row],[Referencia]]="","Pendiente","Descargada")</f>
        <v>Descargada</v>
      </c>
      <c r="H27" s="4" t="str">
        <f>_xlfn.XLOOKUP(Tabla1[[#This Row],[ID]],Consulta1[ID2],Consulta1[numero_referencia],"",0)</f>
        <v>EFIR14454956</v>
      </c>
      <c r="I27" s="4" t="str">
        <f>_xlfn.CONCAT(Tabla1[[#This Row],[Cliente]],Tabla1[[#This Row],[Contrato]])</f>
        <v>Frisby312891</v>
      </c>
      <c r="J27" s="4" t="s">
        <v>22</v>
      </c>
      <c r="K27" s="4" t="s">
        <v>15</v>
      </c>
      <c r="L27" s="4"/>
    </row>
    <row r="28" spans="1:12" hidden="1" x14ac:dyDescent="0.35">
      <c r="A28" s="1" t="s">
        <v>44</v>
      </c>
      <c r="B28" s="1">
        <v>20562</v>
      </c>
      <c r="C28" s="3" t="s">
        <v>21</v>
      </c>
      <c r="D28" s="3" t="s">
        <v>12</v>
      </c>
      <c r="E28" s="5">
        <v>4</v>
      </c>
      <c r="F28" s="3"/>
      <c r="G28" s="3" t="str">
        <f>IF(Tabla1[[#This Row],[Referencia]]="","Pendiente","Descargada")</f>
        <v>Descargada</v>
      </c>
      <c r="H28" s="3" t="str">
        <f>_xlfn.XLOOKUP(Tabla1[[#This Row],[ID]],Consulta1[ID2],Consulta1[numero_referencia],"",0)</f>
        <v>EFIR14330097</v>
      </c>
      <c r="I28" s="3" t="str">
        <f>_xlfn.CONCAT(Tabla1[[#This Row],[Cliente]],Tabla1[[#This Row],[Contrato]])</f>
        <v>Frisby262328</v>
      </c>
      <c r="J28" s="3" t="s">
        <v>22</v>
      </c>
      <c r="K28" s="3" t="s">
        <v>15</v>
      </c>
      <c r="L28" s="3"/>
    </row>
    <row r="29" spans="1:12" hidden="1" x14ac:dyDescent="0.35">
      <c r="A29" s="2" t="s">
        <v>45</v>
      </c>
      <c r="B29" s="2">
        <v>20548</v>
      </c>
      <c r="C29" s="4" t="s">
        <v>21</v>
      </c>
      <c r="D29" s="4" t="s">
        <v>12</v>
      </c>
      <c r="E29" s="6">
        <v>4</v>
      </c>
      <c r="F29" s="4"/>
      <c r="G29" s="4" t="str">
        <f>IF(Tabla1[[#This Row],[Referencia]]="","Pendiente","Descargada")</f>
        <v>Descargada</v>
      </c>
      <c r="H29" s="4" t="str">
        <f>_xlfn.XLOOKUP(Tabla1[[#This Row],[ID]],Consulta1[ID2],Consulta1[numero_referencia],"",0)</f>
        <v>EFIR14321027</v>
      </c>
      <c r="I29" s="4" t="str">
        <f>_xlfn.CONCAT(Tabla1[[#This Row],[Cliente]],Tabla1[[#This Row],[Contrato]])</f>
        <v>Frisby301241</v>
      </c>
      <c r="J29" s="4" t="s">
        <v>22</v>
      </c>
      <c r="K29" s="4" t="s">
        <v>15</v>
      </c>
      <c r="L29" s="4"/>
    </row>
    <row r="30" spans="1:12" hidden="1" x14ac:dyDescent="0.35">
      <c r="A30" s="1" t="s">
        <v>46</v>
      </c>
      <c r="B30" s="1">
        <v>20552</v>
      </c>
      <c r="C30" s="3" t="s">
        <v>21</v>
      </c>
      <c r="D30" s="3" t="s">
        <v>12</v>
      </c>
      <c r="E30" s="5">
        <v>5</v>
      </c>
      <c r="F30" s="3"/>
      <c r="G30" s="3" t="str">
        <f>IF(Tabla1[[#This Row],[Referencia]]="","Pendiente","Descargada")</f>
        <v>Descargada</v>
      </c>
      <c r="H30" s="3" t="str">
        <f>_xlfn.XLOOKUP(Tabla1[[#This Row],[ID]],Consulta1[ID2],Consulta1[numero_referencia],"",0)</f>
        <v>EFIR14385333</v>
      </c>
      <c r="I30" s="3" t="str">
        <f>_xlfn.CONCAT(Tabla1[[#This Row],[Cliente]],Tabla1[[#This Row],[Contrato]])</f>
        <v>Frisby436087</v>
      </c>
      <c r="J30" s="3" t="s">
        <v>22</v>
      </c>
      <c r="K30" s="3" t="s">
        <v>15</v>
      </c>
      <c r="L30" s="3"/>
    </row>
    <row r="31" spans="1:12" hidden="1" x14ac:dyDescent="0.35">
      <c r="A31" s="2" t="s">
        <v>47</v>
      </c>
      <c r="B31" s="2">
        <v>20545</v>
      </c>
      <c r="C31" s="4" t="s">
        <v>21</v>
      </c>
      <c r="D31" s="4" t="s">
        <v>12</v>
      </c>
      <c r="E31" s="6">
        <v>5</v>
      </c>
      <c r="F31" s="4"/>
      <c r="G31" s="4" t="str">
        <f>IF(Tabla1[[#This Row],[Referencia]]="","Pendiente","Descargada")</f>
        <v>Descargada</v>
      </c>
      <c r="H31" s="4" t="str">
        <f>_xlfn.XLOOKUP(Tabla1[[#This Row],[ID]],Consulta1[ID2],Consulta1[numero_referencia],"",0)</f>
        <v>EFIR14374797</v>
      </c>
      <c r="I31" s="4" t="str">
        <f>_xlfn.CONCAT(Tabla1[[#This Row],[Cliente]],Tabla1[[#This Row],[Contrato]])</f>
        <v>Frisby309631</v>
      </c>
      <c r="J31" s="4" t="s">
        <v>22</v>
      </c>
      <c r="K31" s="4" t="s">
        <v>15</v>
      </c>
      <c r="L31" s="4"/>
    </row>
    <row r="32" spans="1:12" hidden="1" x14ac:dyDescent="0.35">
      <c r="A32" s="1" t="s">
        <v>48</v>
      </c>
      <c r="B32" s="1">
        <v>20580</v>
      </c>
      <c r="C32" s="3" t="s">
        <v>21</v>
      </c>
      <c r="D32" s="3" t="s">
        <v>12</v>
      </c>
      <c r="E32" s="5">
        <v>5</v>
      </c>
      <c r="F32" s="3"/>
      <c r="G32" s="3" t="str">
        <f>IF(Tabla1[[#This Row],[Referencia]]="","Pendiente","Descargada")</f>
        <v>Descargada</v>
      </c>
      <c r="H32" s="3" t="str">
        <f>_xlfn.XLOOKUP(Tabla1[[#This Row],[ID]],Consulta1[ID2],Consulta1[numero_referencia],"",0)</f>
        <v>EFIR14390891</v>
      </c>
      <c r="I32" s="3" t="str">
        <f>_xlfn.CONCAT(Tabla1[[#This Row],[Cliente]],Tabla1[[#This Row],[Contrato]])</f>
        <v>Frisby360911</v>
      </c>
      <c r="J32" s="3" t="s">
        <v>22</v>
      </c>
      <c r="K32" s="3" t="s">
        <v>15</v>
      </c>
      <c r="L32" s="3"/>
    </row>
    <row r="33" spans="1:12" hidden="1" x14ac:dyDescent="0.35">
      <c r="A33" s="2" t="s">
        <v>49</v>
      </c>
      <c r="B33" s="2">
        <v>20622</v>
      </c>
      <c r="C33" s="4" t="s">
        <v>21</v>
      </c>
      <c r="D33" s="4" t="s">
        <v>12</v>
      </c>
      <c r="E33" s="6">
        <v>12</v>
      </c>
      <c r="F33" s="4"/>
      <c r="G33" s="4" t="str">
        <f>IF(Tabla1[[#This Row],[Referencia]]="","Pendiente","Descargada")</f>
        <v>Descargada</v>
      </c>
      <c r="H33" s="4" t="str">
        <f>_xlfn.XLOOKUP(Tabla1[[#This Row],[ID]],Consulta1[ID2],Consulta1[numero_referencia],"",0)</f>
        <v>EFIR14539956</v>
      </c>
      <c r="I33" s="4" t="str">
        <f>_xlfn.CONCAT(Tabla1[[#This Row],[Cliente]],Tabla1[[#This Row],[Contrato]])</f>
        <v>Frisby411821</v>
      </c>
      <c r="J33" s="4" t="s">
        <v>22</v>
      </c>
      <c r="K33" s="4" t="s">
        <v>15</v>
      </c>
      <c r="L33" s="4"/>
    </row>
    <row r="34" spans="1:12" hidden="1" x14ac:dyDescent="0.35">
      <c r="A34" s="1" t="s">
        <v>50</v>
      </c>
      <c r="B34" s="1">
        <v>20561</v>
      </c>
      <c r="C34" s="3" t="s">
        <v>21</v>
      </c>
      <c r="D34" s="3" t="s">
        <v>12</v>
      </c>
      <c r="E34" s="5">
        <v>12</v>
      </c>
      <c r="F34" s="3"/>
      <c r="G34" s="3" t="str">
        <f>IF(Tabla1[[#This Row],[Referencia]]="","Pendiente","Descargada")</f>
        <v>Descargada</v>
      </c>
      <c r="H34" s="3" t="str">
        <f>_xlfn.XLOOKUP(Tabla1[[#This Row],[ID]],Consulta1[ID2],Consulta1[numero_referencia],"",0)</f>
        <v>EFIR14519633</v>
      </c>
      <c r="I34" s="3" t="str">
        <f>_xlfn.CONCAT(Tabla1[[#This Row],[Cliente]],Tabla1[[#This Row],[Contrato]])</f>
        <v>Frisby451448</v>
      </c>
      <c r="J34" s="3" t="s">
        <v>22</v>
      </c>
      <c r="K34" s="3" t="s">
        <v>15</v>
      </c>
      <c r="L34" s="3"/>
    </row>
    <row r="35" spans="1:12" hidden="1" x14ac:dyDescent="0.35">
      <c r="A35" s="2" t="s">
        <v>51</v>
      </c>
      <c r="B35" s="2">
        <v>20561</v>
      </c>
      <c r="C35" s="4" t="s">
        <v>21</v>
      </c>
      <c r="D35" s="4" t="s">
        <v>12</v>
      </c>
      <c r="E35" s="6">
        <v>12</v>
      </c>
      <c r="F35" s="4"/>
      <c r="G35" s="4" t="str">
        <f>IF(Tabla1[[#This Row],[Referencia]]="","Pendiente","Descargada")</f>
        <v>Descargada</v>
      </c>
      <c r="H35" s="4" t="str">
        <f>_xlfn.XLOOKUP(Tabla1[[#This Row],[ID]],Consulta1[ID2],Consulta1[numero_referencia],"",0)</f>
        <v>EFIR14523476</v>
      </c>
      <c r="I35" s="4" t="str">
        <f>_xlfn.CONCAT(Tabla1[[#This Row],[Cliente]],Tabla1[[#This Row],[Contrato]])</f>
        <v>Frisby451449</v>
      </c>
      <c r="J35" s="4" t="s">
        <v>14</v>
      </c>
      <c r="K35" s="4" t="s">
        <v>15</v>
      </c>
      <c r="L35" s="4"/>
    </row>
    <row r="36" spans="1:12" hidden="1" x14ac:dyDescent="0.35">
      <c r="A36" s="1" t="s">
        <v>52</v>
      </c>
      <c r="B36" s="1">
        <v>20547</v>
      </c>
      <c r="C36" s="3" t="s">
        <v>21</v>
      </c>
      <c r="D36" s="3" t="s">
        <v>12</v>
      </c>
      <c r="E36" s="5">
        <v>14</v>
      </c>
      <c r="F36" s="3"/>
      <c r="G36" s="3" t="str">
        <f>IF(Tabla1[[#This Row],[Referencia]]="","Pendiente","Descargada")</f>
        <v>Descargada</v>
      </c>
      <c r="H36" s="3" t="str">
        <f>_xlfn.XLOOKUP(Tabla1[[#This Row],[ID]],Consulta1[ID2],Consulta1[numero_referencia],"",0)</f>
        <v>EFIR14682906</v>
      </c>
      <c r="I36" s="3" t="str">
        <f>_xlfn.CONCAT(Tabla1[[#This Row],[Cliente]],Tabla1[[#This Row],[Contrato]])</f>
        <v>Frisby441113</v>
      </c>
      <c r="J36" s="3" t="s">
        <v>14</v>
      </c>
      <c r="K36" s="3" t="s">
        <v>15</v>
      </c>
      <c r="L36" s="3"/>
    </row>
    <row r="37" spans="1:12" hidden="1" x14ac:dyDescent="0.35">
      <c r="A37" s="11" t="s">
        <v>53</v>
      </c>
      <c r="B37" s="11">
        <v>20612</v>
      </c>
      <c r="C37" s="12" t="s">
        <v>21</v>
      </c>
      <c r="D37" s="12" t="s">
        <v>12</v>
      </c>
      <c r="E37" s="13">
        <v>15</v>
      </c>
      <c r="F37" s="12"/>
      <c r="G37" s="12" t="str">
        <f>IF(Tabla1[[#This Row],[Referencia]]="","Pendiente","Descargada")</f>
        <v>Descargada</v>
      </c>
      <c r="H37" s="12" t="str">
        <f>_xlfn.XLOOKUP(Tabla1[[#This Row],[ID]],Consulta1[ID2],Consulta1[numero_referencia],"",0)</f>
        <v>EFIR14699280</v>
      </c>
      <c r="I37" s="12" t="str">
        <f>_xlfn.CONCAT(Tabla1[[#This Row],[Cliente]],Tabla1[[#This Row],[Contrato]])</f>
        <v>Frisby1027361</v>
      </c>
      <c r="J37" s="12" t="s">
        <v>22</v>
      </c>
      <c r="K37" s="12" t="s">
        <v>54</v>
      </c>
      <c r="L37" s="12"/>
    </row>
  </sheetData>
  <hyperlinks>
    <hyperlink ref="J2" r:id="rId1" xr:uid="{00000000-0004-0000-00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7EFE-9F99-4706-8663-B76E9C2D35AC}">
  <dimension ref="A1:N26"/>
  <sheetViews>
    <sheetView workbookViewId="0">
      <selection activeCell="G3" sqref="G3"/>
    </sheetView>
  </sheetViews>
  <sheetFormatPr baseColWidth="10" defaultRowHeight="14.5" x14ac:dyDescent="0.35"/>
  <cols>
    <col min="1" max="1" width="19" bestFit="1" customWidth="1"/>
    <col min="2" max="2" width="17.36328125" bestFit="1" customWidth="1"/>
    <col min="3" max="3" width="16.54296875" bestFit="1" customWidth="1"/>
    <col min="4" max="4" width="24.36328125" bestFit="1" customWidth="1"/>
    <col min="5" max="5" width="34.7265625" bestFit="1" customWidth="1"/>
    <col min="6" max="6" width="8.90625" bestFit="1" customWidth="1"/>
    <col min="7" max="7" width="8.90625" customWidth="1"/>
    <col min="8" max="8" width="17.453125" bestFit="1" customWidth="1"/>
    <col min="9" max="9" width="15.36328125" bestFit="1" customWidth="1"/>
    <col min="10" max="11" width="14" bestFit="1" customWidth="1"/>
    <col min="12" max="12" width="12.26953125" bestFit="1" customWidth="1"/>
    <col min="13" max="13" width="15.90625" bestFit="1" customWidth="1"/>
    <col min="14" max="14" width="20" bestFit="1" customWidth="1"/>
  </cols>
  <sheetData>
    <row r="1" spans="1:14" x14ac:dyDescent="0.3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142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</row>
    <row r="2" spans="1:14" x14ac:dyDescent="0.35">
      <c r="A2" t="s">
        <v>91</v>
      </c>
      <c r="B2" t="s">
        <v>27</v>
      </c>
      <c r="C2" t="s">
        <v>12</v>
      </c>
      <c r="D2" t="s">
        <v>92</v>
      </c>
      <c r="E2" t="s">
        <v>71</v>
      </c>
      <c r="F2" t="s">
        <v>21</v>
      </c>
      <c r="G2" t="str">
        <f>_xlfn.CONCAT(Consulta1[[#This Row],[cliente]],Consulta1[[#This Row],[numero_contrato]])</f>
        <v>Frisby290345</v>
      </c>
      <c r="H2" s="17">
        <v>46189</v>
      </c>
      <c r="I2" s="17">
        <v>46174</v>
      </c>
      <c r="J2" s="17">
        <v>46138</v>
      </c>
      <c r="K2" s="17">
        <v>46167</v>
      </c>
      <c r="L2">
        <v>1643142</v>
      </c>
      <c r="M2" s="17">
        <v>46176.74327042824</v>
      </c>
      <c r="N2" s="17">
        <v>46176.74327042824</v>
      </c>
    </row>
    <row r="3" spans="1:14" x14ac:dyDescent="0.35">
      <c r="A3" t="s">
        <v>93</v>
      </c>
      <c r="B3" t="s">
        <v>16</v>
      </c>
      <c r="C3" t="s">
        <v>12</v>
      </c>
      <c r="D3" t="s">
        <v>94</v>
      </c>
      <c r="E3" t="s">
        <v>89</v>
      </c>
      <c r="F3" t="s">
        <v>17</v>
      </c>
      <c r="G3" t="str">
        <f>_xlfn.CONCAT(Consulta1[[#This Row],[cliente]],Consulta1[[#This Row],[numero_contrato]])</f>
        <v>Francorp269364</v>
      </c>
      <c r="H3" s="17">
        <v>46189</v>
      </c>
      <c r="I3" s="17">
        <v>46174</v>
      </c>
      <c r="J3" s="17">
        <v>46138</v>
      </c>
      <c r="K3" s="17">
        <v>46167</v>
      </c>
      <c r="L3">
        <v>958372</v>
      </c>
      <c r="M3" s="17">
        <v>46176.74327042824</v>
      </c>
      <c r="N3" s="17">
        <v>46176.74327042824</v>
      </c>
    </row>
    <row r="4" spans="1:14" x14ac:dyDescent="0.35">
      <c r="A4" t="s">
        <v>95</v>
      </c>
      <c r="B4" t="s">
        <v>28</v>
      </c>
      <c r="C4" t="s">
        <v>12</v>
      </c>
      <c r="D4" t="s">
        <v>96</v>
      </c>
      <c r="E4" t="s">
        <v>68</v>
      </c>
      <c r="F4" t="s">
        <v>21</v>
      </c>
      <c r="G4" t="str">
        <f>_xlfn.CONCAT(Consulta1[[#This Row],[cliente]],Consulta1[[#This Row],[numero_contrato]])</f>
        <v>Frisby296694</v>
      </c>
      <c r="H4" s="17">
        <v>46189</v>
      </c>
      <c r="I4" s="17">
        <v>46174</v>
      </c>
      <c r="J4" s="17">
        <v>46138</v>
      </c>
      <c r="K4" s="17">
        <v>46167</v>
      </c>
      <c r="L4">
        <v>4859023</v>
      </c>
      <c r="M4" s="17">
        <v>46176.74327042824</v>
      </c>
      <c r="N4" s="17">
        <v>46176.74327042824</v>
      </c>
    </row>
    <row r="5" spans="1:14" x14ac:dyDescent="0.35">
      <c r="A5" t="s">
        <v>97</v>
      </c>
      <c r="B5" t="s">
        <v>48</v>
      </c>
      <c r="C5" t="s">
        <v>12</v>
      </c>
      <c r="D5" t="s">
        <v>98</v>
      </c>
      <c r="E5" t="s">
        <v>77</v>
      </c>
      <c r="F5" t="s">
        <v>21</v>
      </c>
      <c r="G5" t="str">
        <f>_xlfn.CONCAT(Consulta1[[#This Row],[cliente]],Consulta1[[#This Row],[numero_contrato]])</f>
        <v>Frisby360911</v>
      </c>
      <c r="H5" s="17">
        <v>46191</v>
      </c>
      <c r="I5" s="17">
        <v>46178</v>
      </c>
      <c r="J5" s="17">
        <v>46145</v>
      </c>
      <c r="K5" s="17">
        <v>46174</v>
      </c>
      <c r="L5">
        <v>3295912</v>
      </c>
      <c r="M5" s="17">
        <v>46182.931135902778</v>
      </c>
      <c r="N5" s="17">
        <v>46182.931135902778</v>
      </c>
    </row>
    <row r="6" spans="1:14" x14ac:dyDescent="0.35">
      <c r="A6" t="s">
        <v>99</v>
      </c>
      <c r="B6" t="s">
        <v>47</v>
      </c>
      <c r="C6" t="s">
        <v>12</v>
      </c>
      <c r="D6" t="s">
        <v>100</v>
      </c>
      <c r="E6" t="s">
        <v>78</v>
      </c>
      <c r="F6" t="s">
        <v>21</v>
      </c>
      <c r="G6" t="str">
        <f>_xlfn.CONCAT(Consulta1[[#This Row],[cliente]],Consulta1[[#This Row],[numero_contrato]])</f>
        <v>Frisby309631</v>
      </c>
      <c r="H6" s="17">
        <v>46191</v>
      </c>
      <c r="I6" s="17">
        <v>46178</v>
      </c>
      <c r="J6" s="17">
        <v>46145</v>
      </c>
      <c r="K6" s="17">
        <v>46174</v>
      </c>
      <c r="L6">
        <v>2862104</v>
      </c>
      <c r="M6" s="17">
        <v>46182.931135891202</v>
      </c>
      <c r="N6" s="17">
        <v>46182.931135891202</v>
      </c>
    </row>
    <row r="7" spans="1:14" x14ac:dyDescent="0.35">
      <c r="A7" t="s">
        <v>101</v>
      </c>
      <c r="B7" t="s">
        <v>41</v>
      </c>
      <c r="C7" t="s">
        <v>12</v>
      </c>
      <c r="D7" t="s">
        <v>102</v>
      </c>
      <c r="E7" t="s">
        <v>73</v>
      </c>
      <c r="F7" t="s">
        <v>21</v>
      </c>
      <c r="G7" t="str">
        <f>_xlfn.CONCAT(Consulta1[[#This Row],[cliente]],Consulta1[[#This Row],[numero_contrato]])</f>
        <v>Frisby571494</v>
      </c>
      <c r="H7" s="17">
        <v>46190</v>
      </c>
      <c r="I7" s="17">
        <v>46175</v>
      </c>
      <c r="J7" s="17">
        <v>46140</v>
      </c>
      <c r="K7" s="17">
        <v>46169</v>
      </c>
      <c r="L7">
        <v>1130462</v>
      </c>
      <c r="M7" s="17">
        <v>46182.931135891202</v>
      </c>
      <c r="N7" s="17">
        <v>46182.931135891202</v>
      </c>
    </row>
    <row r="8" spans="1:14" x14ac:dyDescent="0.35">
      <c r="A8" t="s">
        <v>103</v>
      </c>
      <c r="B8" t="s">
        <v>44</v>
      </c>
      <c r="C8" t="s">
        <v>12</v>
      </c>
      <c r="D8" t="s">
        <v>104</v>
      </c>
      <c r="E8" t="s">
        <v>69</v>
      </c>
      <c r="F8" t="s">
        <v>21</v>
      </c>
      <c r="G8" t="str">
        <f>_xlfn.CONCAT(Consulta1[[#This Row],[cliente]],Consulta1[[#This Row],[numero_contrato]])</f>
        <v>Frisby262328</v>
      </c>
      <c r="H8" s="17">
        <v>46190</v>
      </c>
      <c r="I8" s="17">
        <v>46177</v>
      </c>
      <c r="J8" s="17">
        <v>46143</v>
      </c>
      <c r="K8" s="17">
        <v>46172</v>
      </c>
      <c r="L8">
        <v>2722282</v>
      </c>
      <c r="M8" s="17">
        <v>46182.931135891202</v>
      </c>
      <c r="N8" s="17">
        <v>46182.931135891202</v>
      </c>
    </row>
    <row r="9" spans="1:14" x14ac:dyDescent="0.35">
      <c r="A9" t="s">
        <v>105</v>
      </c>
      <c r="B9" t="s">
        <v>45</v>
      </c>
      <c r="C9" t="s">
        <v>12</v>
      </c>
      <c r="D9" t="s">
        <v>106</v>
      </c>
      <c r="E9" t="s">
        <v>74</v>
      </c>
      <c r="F9" t="s">
        <v>21</v>
      </c>
      <c r="G9" t="str">
        <f>_xlfn.CONCAT(Consulta1[[#This Row],[cliente]],Consulta1[[#This Row],[numero_contrato]])</f>
        <v>Frisby301241</v>
      </c>
      <c r="H9" s="17">
        <v>46190</v>
      </c>
      <c r="I9" s="17">
        <v>46177</v>
      </c>
      <c r="J9" s="17">
        <v>46143</v>
      </c>
      <c r="K9" s="17">
        <v>46172</v>
      </c>
      <c r="L9">
        <v>2847764</v>
      </c>
      <c r="M9" s="17">
        <v>46182.931135891202</v>
      </c>
      <c r="N9" s="17">
        <v>46182.931135891202</v>
      </c>
    </row>
    <row r="10" spans="1:14" x14ac:dyDescent="0.35">
      <c r="A10" t="s">
        <v>107</v>
      </c>
      <c r="B10" t="s">
        <v>46</v>
      </c>
      <c r="C10" t="s">
        <v>12</v>
      </c>
      <c r="D10" t="s">
        <v>108</v>
      </c>
      <c r="E10" t="s">
        <v>70</v>
      </c>
      <c r="F10" t="s">
        <v>21</v>
      </c>
      <c r="G10" t="str">
        <f>_xlfn.CONCAT(Consulta1[[#This Row],[cliente]],Consulta1[[#This Row],[numero_contrato]])</f>
        <v>Frisby436087</v>
      </c>
      <c r="H10" s="17">
        <v>46192</v>
      </c>
      <c r="I10" s="17">
        <v>46178</v>
      </c>
      <c r="J10" s="17">
        <v>46143</v>
      </c>
      <c r="K10" s="17">
        <v>46172</v>
      </c>
      <c r="L10">
        <v>3426264</v>
      </c>
      <c r="M10" s="17">
        <v>46182.931135891202</v>
      </c>
      <c r="N10" s="17">
        <v>46182.931135891202</v>
      </c>
    </row>
    <row r="11" spans="1:14" x14ac:dyDescent="0.35">
      <c r="A11" t="s">
        <v>109</v>
      </c>
      <c r="B11" t="s">
        <v>31</v>
      </c>
      <c r="C11" t="s">
        <v>12</v>
      </c>
      <c r="D11" t="s">
        <v>110</v>
      </c>
      <c r="E11" t="s">
        <v>72</v>
      </c>
      <c r="F11" t="s">
        <v>21</v>
      </c>
      <c r="G11" t="str">
        <f>_xlfn.CONCAT(Consulta1[[#This Row],[cliente]],Consulta1[[#This Row],[numero_contrato]])</f>
        <v>Frisby54916</v>
      </c>
      <c r="H11" s="17">
        <v>46192</v>
      </c>
      <c r="I11" s="17">
        <v>46178</v>
      </c>
      <c r="J11" s="17">
        <v>46142</v>
      </c>
      <c r="K11" s="17">
        <v>46171</v>
      </c>
      <c r="L11">
        <v>3157264</v>
      </c>
      <c r="M11" s="17">
        <v>46182.931135891202</v>
      </c>
      <c r="N11" s="17">
        <v>46182.931135891202</v>
      </c>
    </row>
    <row r="12" spans="1:14" x14ac:dyDescent="0.35">
      <c r="A12" t="s">
        <v>111</v>
      </c>
      <c r="B12" t="s">
        <v>43</v>
      </c>
      <c r="C12" t="s">
        <v>12</v>
      </c>
      <c r="D12" t="s">
        <v>112</v>
      </c>
      <c r="E12" t="s">
        <v>84</v>
      </c>
      <c r="F12" t="s">
        <v>21</v>
      </c>
      <c r="G12" t="str">
        <f>_xlfn.CONCAT(Consulta1[[#This Row],[cliente]],Consulta1[[#This Row],[numero_contrato]])</f>
        <v>Frisby312891</v>
      </c>
      <c r="H12" s="17">
        <v>46196</v>
      </c>
      <c r="I12" s="17">
        <v>46182</v>
      </c>
      <c r="J12" s="17">
        <v>46147</v>
      </c>
      <c r="K12" s="17">
        <v>46176</v>
      </c>
      <c r="L12">
        <v>2335083</v>
      </c>
      <c r="M12" s="17">
        <v>46183.895448101852</v>
      </c>
      <c r="N12" s="17">
        <v>46183.895448101852</v>
      </c>
    </row>
    <row r="13" spans="1:14" x14ac:dyDescent="0.35">
      <c r="A13" t="s">
        <v>113</v>
      </c>
      <c r="B13" t="s">
        <v>42</v>
      </c>
      <c r="C13" t="s">
        <v>12</v>
      </c>
      <c r="D13" t="s">
        <v>114</v>
      </c>
      <c r="E13" t="s">
        <v>86</v>
      </c>
      <c r="F13" t="s">
        <v>21</v>
      </c>
      <c r="G13" t="str">
        <f>_xlfn.CONCAT(Consulta1[[#This Row],[cliente]],Consulta1[[#This Row],[numero_contrato]])</f>
        <v>Frisby608387</v>
      </c>
      <c r="H13" s="17">
        <v>46196</v>
      </c>
      <c r="I13" s="17">
        <v>46182</v>
      </c>
      <c r="J13" s="17">
        <v>46147</v>
      </c>
      <c r="K13" s="17">
        <v>46176</v>
      </c>
      <c r="L13">
        <v>20996</v>
      </c>
      <c r="M13" s="17">
        <v>46183.895448101852</v>
      </c>
      <c r="N13" s="17">
        <v>46183.895448101852</v>
      </c>
    </row>
    <row r="14" spans="1:14" x14ac:dyDescent="0.35">
      <c r="A14" t="s">
        <v>115</v>
      </c>
      <c r="B14" t="s">
        <v>18</v>
      </c>
      <c r="C14" t="s">
        <v>12</v>
      </c>
      <c r="D14" t="s">
        <v>116</v>
      </c>
      <c r="E14" t="s">
        <v>88</v>
      </c>
      <c r="F14" t="s">
        <v>17</v>
      </c>
      <c r="G14" t="str">
        <f>_xlfn.CONCAT(Consulta1[[#This Row],[cliente]],Consulta1[[#This Row],[numero_contrato]])</f>
        <v>Francorp353226</v>
      </c>
      <c r="H14" s="17">
        <v>46196</v>
      </c>
      <c r="I14" s="17">
        <v>46182</v>
      </c>
      <c r="J14" s="17">
        <v>46147</v>
      </c>
      <c r="K14" s="17">
        <v>46176</v>
      </c>
      <c r="L14">
        <v>901009</v>
      </c>
      <c r="M14" s="17">
        <v>46184.72213490741</v>
      </c>
      <c r="N14" s="17">
        <v>46184.72213490741</v>
      </c>
    </row>
    <row r="15" spans="1:14" x14ac:dyDescent="0.35">
      <c r="A15" t="s">
        <v>117</v>
      </c>
      <c r="B15" t="s">
        <v>30</v>
      </c>
      <c r="C15" t="s">
        <v>12</v>
      </c>
      <c r="D15" t="s">
        <v>118</v>
      </c>
      <c r="E15" t="s">
        <v>85</v>
      </c>
      <c r="F15" t="s">
        <v>21</v>
      </c>
      <c r="G15" t="str">
        <f>_xlfn.CONCAT(Consulta1[[#This Row],[cliente]],Consulta1[[#This Row],[numero_contrato]])</f>
        <v>Frisby305658</v>
      </c>
      <c r="H15" s="17">
        <v>46196</v>
      </c>
      <c r="I15" s="17">
        <v>46182</v>
      </c>
      <c r="J15" s="17">
        <v>46147</v>
      </c>
      <c r="K15" s="17">
        <v>46176</v>
      </c>
      <c r="L15">
        <v>2213187</v>
      </c>
      <c r="M15" s="17">
        <v>46184.72213490741</v>
      </c>
      <c r="N15" s="17">
        <v>46184.72213490741</v>
      </c>
    </row>
    <row r="16" spans="1:14" x14ac:dyDescent="0.35">
      <c r="A16" t="s">
        <v>119</v>
      </c>
      <c r="B16" t="s">
        <v>29</v>
      </c>
      <c r="C16" t="s">
        <v>12</v>
      </c>
      <c r="D16" t="s">
        <v>120</v>
      </c>
      <c r="E16" t="s">
        <v>73</v>
      </c>
      <c r="F16" t="s">
        <v>21</v>
      </c>
      <c r="G16" t="str">
        <f>_xlfn.CONCAT(Consulta1[[#This Row],[cliente]],Consulta1[[#This Row],[numero_contrato]])</f>
        <v>Frisby1557514</v>
      </c>
      <c r="H16" s="17">
        <v>46190</v>
      </c>
      <c r="I16" s="17">
        <v>46175</v>
      </c>
      <c r="J16" s="17">
        <v>46140</v>
      </c>
      <c r="K16" s="17">
        <v>46169</v>
      </c>
      <c r="L16">
        <v>1481714</v>
      </c>
      <c r="M16" s="17">
        <v>46184.897036469905</v>
      </c>
      <c r="N16" s="17">
        <v>46184.897036469905</v>
      </c>
    </row>
    <row r="17" spans="1:14" x14ac:dyDescent="0.35">
      <c r="A17" t="s">
        <v>121</v>
      </c>
      <c r="B17" t="s">
        <v>51</v>
      </c>
      <c r="C17" t="s">
        <v>12</v>
      </c>
      <c r="D17" t="s">
        <v>122</v>
      </c>
      <c r="E17" t="s">
        <v>87</v>
      </c>
      <c r="F17" t="s">
        <v>21</v>
      </c>
      <c r="G17" t="str">
        <f>_xlfn.CONCAT(Consulta1[[#This Row],[cliente]],Consulta1[[#This Row],[numero_contrato]])</f>
        <v>Frisby451449</v>
      </c>
      <c r="H17" s="17">
        <v>46197</v>
      </c>
      <c r="I17" s="17">
        <v>46184</v>
      </c>
      <c r="J17" s="17">
        <v>46148</v>
      </c>
      <c r="K17" s="17">
        <v>46177</v>
      </c>
      <c r="L17">
        <v>3022204</v>
      </c>
      <c r="M17" s="17">
        <v>46185.716676111108</v>
      </c>
      <c r="N17" s="17">
        <v>46185.716676111108</v>
      </c>
    </row>
    <row r="18" spans="1:14" x14ac:dyDescent="0.35">
      <c r="A18" t="s">
        <v>123</v>
      </c>
      <c r="B18" t="s">
        <v>49</v>
      </c>
      <c r="C18" t="s">
        <v>12</v>
      </c>
      <c r="D18" t="s">
        <v>124</v>
      </c>
      <c r="E18" t="s">
        <v>90</v>
      </c>
      <c r="F18" t="s">
        <v>21</v>
      </c>
      <c r="G18" t="str">
        <f>_xlfn.CONCAT(Consulta1[[#This Row],[cliente]],Consulta1[[#This Row],[numero_contrato]])</f>
        <v>Frisby411821</v>
      </c>
      <c r="H18" s="17">
        <v>46197</v>
      </c>
      <c r="I18" s="17">
        <v>46184</v>
      </c>
      <c r="J18" s="17">
        <v>46147</v>
      </c>
      <c r="K18" s="17">
        <v>46176</v>
      </c>
      <c r="L18">
        <v>1820074</v>
      </c>
      <c r="M18" s="17">
        <v>46185.716676111108</v>
      </c>
      <c r="N18" s="17">
        <v>46185.716676111108</v>
      </c>
    </row>
    <row r="19" spans="1:14" x14ac:dyDescent="0.35">
      <c r="A19" t="s">
        <v>125</v>
      </c>
      <c r="B19" t="s">
        <v>50</v>
      </c>
      <c r="C19" t="s">
        <v>12</v>
      </c>
      <c r="D19" t="s">
        <v>126</v>
      </c>
      <c r="E19" t="s">
        <v>87</v>
      </c>
      <c r="F19" t="s">
        <v>21</v>
      </c>
      <c r="G19" t="str">
        <f>_xlfn.CONCAT(Consulta1[[#This Row],[cliente]],Consulta1[[#This Row],[numero_contrato]])</f>
        <v>Frisby451448</v>
      </c>
      <c r="H19" s="17">
        <v>46197</v>
      </c>
      <c r="I19" s="17">
        <v>46184</v>
      </c>
      <c r="J19" s="17">
        <v>46148</v>
      </c>
      <c r="K19" s="17">
        <v>46177</v>
      </c>
      <c r="L19">
        <v>4545</v>
      </c>
      <c r="M19" s="17">
        <v>46185.716676111108</v>
      </c>
      <c r="N19" s="17">
        <v>46185.716676111108</v>
      </c>
    </row>
    <row r="20" spans="1:14" x14ac:dyDescent="0.35">
      <c r="A20" t="s">
        <v>127</v>
      </c>
      <c r="B20" t="s">
        <v>23</v>
      </c>
      <c r="C20" t="s">
        <v>12</v>
      </c>
      <c r="D20" t="s">
        <v>128</v>
      </c>
      <c r="E20" t="s">
        <v>80</v>
      </c>
      <c r="F20" t="s">
        <v>21</v>
      </c>
      <c r="G20" t="str">
        <f>_xlfn.CONCAT(Consulta1[[#This Row],[cliente]],Consulta1[[#This Row],[numero_contrato]])</f>
        <v>Frisby573671</v>
      </c>
      <c r="H20" s="17">
        <v>46198</v>
      </c>
      <c r="I20" s="17">
        <v>46185</v>
      </c>
      <c r="J20" s="17">
        <v>46149</v>
      </c>
      <c r="K20" s="17">
        <v>46178</v>
      </c>
      <c r="L20">
        <v>2107552</v>
      </c>
      <c r="M20" s="17">
        <v>46189.660897164351</v>
      </c>
      <c r="N20" s="17">
        <v>46189.660897164351</v>
      </c>
    </row>
    <row r="21" spans="1:14" x14ac:dyDescent="0.35">
      <c r="A21" t="s">
        <v>129</v>
      </c>
      <c r="B21" t="s">
        <v>20</v>
      </c>
      <c r="C21" t="s">
        <v>12</v>
      </c>
      <c r="D21" t="s">
        <v>130</v>
      </c>
      <c r="E21" t="s">
        <v>79</v>
      </c>
      <c r="F21" t="s">
        <v>21</v>
      </c>
      <c r="G21" t="str">
        <f>_xlfn.CONCAT(Consulta1[[#This Row],[cliente]],Consulta1[[#This Row],[numero_contrato]])</f>
        <v>Frisby54357</v>
      </c>
      <c r="H21" s="17">
        <v>46198</v>
      </c>
      <c r="I21" s="17">
        <v>46185</v>
      </c>
      <c r="J21" s="17">
        <v>46149</v>
      </c>
      <c r="K21" s="17">
        <v>46178</v>
      </c>
      <c r="L21">
        <v>1124675</v>
      </c>
      <c r="M21" s="17">
        <v>46189.660897152775</v>
      </c>
      <c r="N21" s="17">
        <v>46189.660897152775</v>
      </c>
    </row>
    <row r="22" spans="1:14" x14ac:dyDescent="0.35">
      <c r="A22" t="s">
        <v>131</v>
      </c>
      <c r="B22" t="s">
        <v>26</v>
      </c>
      <c r="C22" t="s">
        <v>12</v>
      </c>
      <c r="D22" t="s">
        <v>132</v>
      </c>
      <c r="E22" t="s">
        <v>75</v>
      </c>
      <c r="F22" t="s">
        <v>21</v>
      </c>
      <c r="G22" t="str">
        <f>_xlfn.CONCAT(Consulta1[[#This Row],[cliente]],Consulta1[[#This Row],[numero_contrato]])</f>
        <v>Frisby221119</v>
      </c>
      <c r="H22" s="17">
        <v>46197</v>
      </c>
      <c r="I22" s="17">
        <v>46184</v>
      </c>
      <c r="J22" s="17">
        <v>46149</v>
      </c>
      <c r="K22" s="17">
        <v>46178</v>
      </c>
      <c r="L22">
        <v>4633158</v>
      </c>
      <c r="M22" s="17">
        <v>46189.660897152775</v>
      </c>
      <c r="N22" s="17">
        <v>46189.660897152775</v>
      </c>
    </row>
    <row r="23" spans="1:14" x14ac:dyDescent="0.35">
      <c r="A23" t="s">
        <v>133</v>
      </c>
      <c r="B23" t="s">
        <v>24</v>
      </c>
      <c r="C23" t="s">
        <v>12</v>
      </c>
      <c r="D23" t="s">
        <v>134</v>
      </c>
      <c r="E23" t="s">
        <v>81</v>
      </c>
      <c r="F23" t="s">
        <v>21</v>
      </c>
      <c r="G23" t="str">
        <f>_xlfn.CONCAT(Consulta1[[#This Row],[cliente]],Consulta1[[#This Row],[numero_contrato]])</f>
        <v>Frisby56474</v>
      </c>
      <c r="H23" s="17">
        <v>46199</v>
      </c>
      <c r="I23" s="17">
        <v>46185</v>
      </c>
      <c r="J23" s="17">
        <v>46150</v>
      </c>
      <c r="K23" s="17">
        <v>46179</v>
      </c>
      <c r="L23">
        <v>3165127</v>
      </c>
      <c r="M23" s="17">
        <v>46190.893232592593</v>
      </c>
      <c r="N23" s="17">
        <v>46190.893232592593</v>
      </c>
    </row>
    <row r="24" spans="1:14" x14ac:dyDescent="0.35">
      <c r="A24" t="s">
        <v>135</v>
      </c>
      <c r="B24" t="s">
        <v>25</v>
      </c>
      <c r="C24" t="s">
        <v>12</v>
      </c>
      <c r="D24" t="s">
        <v>136</v>
      </c>
      <c r="E24" t="s">
        <v>83</v>
      </c>
      <c r="F24" t="s">
        <v>21</v>
      </c>
      <c r="G24" t="str">
        <f>_xlfn.CONCAT(Consulta1[[#This Row],[cliente]],Consulta1[[#This Row],[numero_contrato]])</f>
        <v>Frisby597052</v>
      </c>
      <c r="H24" s="17">
        <v>46185</v>
      </c>
      <c r="I24" s="17">
        <v>46185</v>
      </c>
      <c r="J24" s="17">
        <v>46150</v>
      </c>
      <c r="K24" s="17">
        <v>46179</v>
      </c>
      <c r="L24">
        <v>6223923</v>
      </c>
      <c r="M24" s="17">
        <v>46190.893232592593</v>
      </c>
      <c r="N24" s="17">
        <v>46190.893232592593</v>
      </c>
    </row>
    <row r="25" spans="1:14" x14ac:dyDescent="0.35">
      <c r="A25" t="s">
        <v>137</v>
      </c>
      <c r="B25" t="s">
        <v>52</v>
      </c>
      <c r="C25" t="s">
        <v>12</v>
      </c>
      <c r="D25" t="s">
        <v>138</v>
      </c>
      <c r="E25" t="s">
        <v>76</v>
      </c>
      <c r="F25" t="s">
        <v>21</v>
      </c>
      <c r="G25" t="str">
        <f>_xlfn.CONCAT(Consulta1[[#This Row],[cliente]],Consulta1[[#This Row],[numero_contrato]])</f>
        <v>Frisby441113</v>
      </c>
      <c r="H25" s="17">
        <v>46203</v>
      </c>
      <c r="I25" s="17">
        <v>46189</v>
      </c>
      <c r="J25" s="17">
        <v>46151</v>
      </c>
      <c r="K25" s="17">
        <v>46180</v>
      </c>
      <c r="L25">
        <v>1495227</v>
      </c>
      <c r="M25" s="17">
        <v>46191.594432800928</v>
      </c>
      <c r="N25" s="17">
        <v>46191.594432800928</v>
      </c>
    </row>
    <row r="26" spans="1:14" x14ac:dyDescent="0.35">
      <c r="A26" t="s">
        <v>139</v>
      </c>
      <c r="B26" t="s">
        <v>53</v>
      </c>
      <c r="C26" t="s">
        <v>12</v>
      </c>
      <c r="D26" t="s">
        <v>140</v>
      </c>
      <c r="E26" t="s">
        <v>82</v>
      </c>
      <c r="F26" t="s">
        <v>21</v>
      </c>
      <c r="G26" t="str">
        <f>_xlfn.CONCAT(Consulta1[[#This Row],[cliente]],Consulta1[[#This Row],[numero_contrato]])</f>
        <v>Frisby1027361</v>
      </c>
      <c r="H26" s="17">
        <v>46203</v>
      </c>
      <c r="I26" s="17">
        <v>46190</v>
      </c>
      <c r="J26" s="17">
        <v>46153</v>
      </c>
      <c r="K26" s="17">
        <v>46182</v>
      </c>
      <c r="L26">
        <v>1632385</v>
      </c>
      <c r="M26" s="17">
        <v>46191.594432800928</v>
      </c>
      <c r="N26" s="17">
        <v>46191.594432800928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117954-61D9-422B-9CCA-45F56659E9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Contratos</vt:lpstr>
      <vt:lpstr>Consulta1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Mesa</dc:creator>
  <cp:lastModifiedBy>Anyi Daniela Manco Henao</cp:lastModifiedBy>
  <dcterms:created xsi:type="dcterms:W3CDTF">2026-06-18T19:03:06Z</dcterms:created>
  <dcterms:modified xsi:type="dcterms:W3CDTF">2026-06-22T15:42:38Z</dcterms:modified>
</cp:coreProperties>
</file>